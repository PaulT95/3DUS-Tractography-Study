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olo/Desktop/"/>
    </mc:Choice>
  </mc:AlternateContent>
  <xr:revisionPtr revIDLastSave="0" documentId="8_{E5FC24E2-6973-A24E-AEB0-02B87A923870}" xr6:coauthVersionLast="47" xr6:coauthVersionMax="47" xr10:uidLastSave="{00000000-0000-0000-0000-000000000000}"/>
  <bookViews>
    <workbookView xWindow="880" yWindow="-21100" windowWidth="38400" windowHeight="21100" xr2:uid="{7A5CE1BB-7329-2C4C-BBFC-7E1F2CF770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7" i="1" l="1"/>
  <c r="D17" i="1"/>
  <c r="I6" i="1"/>
  <c r="E11" i="1" s="1"/>
  <c r="F11" i="1" s="1"/>
  <c r="G11" i="1" s="1"/>
  <c r="E14" i="1" l="1"/>
  <c r="F14" i="1" s="1"/>
  <c r="G14" i="1" s="1"/>
  <c r="E9" i="1"/>
  <c r="F9" i="1" s="1"/>
  <c r="G9" i="1" s="1"/>
  <c r="E7" i="1"/>
  <c r="F7" i="1" s="1"/>
  <c r="G7" i="1" s="1"/>
  <c r="E15" i="1"/>
  <c r="F15" i="1" s="1"/>
  <c r="G15" i="1" s="1"/>
  <c r="E10" i="1"/>
  <c r="F10" i="1" s="1"/>
  <c r="G10" i="1" s="1"/>
  <c r="E13" i="1"/>
  <c r="F13" i="1" s="1"/>
  <c r="G13" i="1" s="1"/>
  <c r="E12" i="1"/>
  <c r="F12" i="1" s="1"/>
  <c r="G12" i="1" s="1"/>
  <c r="E8" i="1"/>
  <c r="F8" i="1" s="1"/>
  <c r="G8" i="1" s="1"/>
  <c r="E6" i="1"/>
  <c r="E17" i="1" l="1"/>
  <c r="F6" i="1"/>
  <c r="F17" i="1" l="1"/>
  <c r="G6" i="1"/>
  <c r="G17" i="1" s="1"/>
</calcChain>
</file>

<file path=xl/sharedStrings.xml><?xml version="1.0" encoding="utf-8"?>
<sst xmlns="http://schemas.openxmlformats.org/spreadsheetml/2006/main" count="30" uniqueCount="17">
  <si>
    <t>Tibia length (plate to centre of rotation between malleuous)</t>
  </si>
  <si>
    <t>Length (mm)</t>
  </si>
  <si>
    <t>Subject specific ratio</t>
  </si>
  <si>
    <t>MTU Δlength</t>
  </si>
  <si>
    <t>Predicted ΔFL</t>
  </si>
  <si>
    <t>3DUS ΔFL</t>
  </si>
  <si>
    <t>Hebert coeff TA</t>
  </si>
  <si>
    <t>R</t>
  </si>
  <si>
    <t>L</t>
  </si>
  <si>
    <t>Mean</t>
  </si>
  <si>
    <t>S01</t>
  </si>
  <si>
    <t>S02</t>
  </si>
  <si>
    <t>S03</t>
  </si>
  <si>
    <t>S04</t>
  </si>
  <si>
    <t>S05</t>
  </si>
  <si>
    <t>Leg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</si>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</sst>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2" borderId="0" xfId="0" applyFill="1"/>
    <xf numFmtId="164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32DF4-5317-CF4D-98F6-3C7A5D3B8727}">
  <dimension ref="B4:I17"/>
  <sheetViews>
    <sheetView tabSelected="1" workbookViewId="0">
      <selection activeCell="D14" sqref="D14"/>
    </sheetView>
  </sheetViews>
  <sheetFormatPr baseColWidth="10" defaultRowHeight="16" x14ac:dyDescent="0.2"/>
  <cols>
    <col min="4" max="4" width="11.83203125" bestFit="1" customWidth="1"/>
    <col min="5" max="5" width="18.33203125" bestFit="1" customWidth="1"/>
    <col min="6" max="6" width="12.1640625" bestFit="1" customWidth="1"/>
    <col min="7" max="7" width="12.5" bestFit="1" customWidth="1"/>
    <col min="8" max="8" width="9" bestFit="1" customWidth="1"/>
    <col min="9" max="9" width="14.1640625" bestFit="1" customWidth="1"/>
  </cols>
  <sheetData>
    <row r="4" spans="2:9" x14ac:dyDescent="0.2">
      <c r="D4" s="1" t="s">
        <v>0</v>
      </c>
      <c r="E4" s="1"/>
      <c r="F4" s="1"/>
      <c r="G4" s="1"/>
      <c r="H4" s="1"/>
    </row>
    <row r="5" spans="2:9" x14ac:dyDescent="0.2">
      <c r="B5" s="2" t="s">
        <v>16</v>
      </c>
      <c r="C5" s="2" t="s">
        <v>15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3" t="s">
        <v>6</v>
      </c>
    </row>
    <row r="6" spans="2:9" x14ac:dyDescent="0.2">
      <c r="B6" t="s">
        <v>10</v>
      </c>
      <c r="C6" t="s">
        <v>7</v>
      </c>
      <c r="D6">
        <v>365.7</v>
      </c>
      <c r="E6" s="4">
        <f>(D6)*$I$6</f>
        <v>0.5383916666666666</v>
      </c>
      <c r="F6" s="4">
        <f>(E6*20)</f>
        <v>10.767833333333332</v>
      </c>
      <c r="G6" s="5">
        <f>F6*0.55</f>
        <v>5.9223083333333335</v>
      </c>
      <c r="H6">
        <v>9.6978000000000009</v>
      </c>
      <c r="I6" s="6">
        <f>0.53/360</f>
        <v>1.4722222222222222E-3</v>
      </c>
    </row>
    <row r="7" spans="2:9" x14ac:dyDescent="0.2">
      <c r="B7" t="s">
        <v>10</v>
      </c>
      <c r="C7" t="s">
        <v>8</v>
      </c>
      <c r="D7">
        <v>365</v>
      </c>
      <c r="E7" s="4">
        <f t="shared" ref="E7:E15" si="0">(D7)*$I$6</f>
        <v>0.53736111111111107</v>
      </c>
      <c r="F7" s="4">
        <f t="shared" ref="F7:F15" si="1">(E7*20)</f>
        <v>10.747222222222222</v>
      </c>
      <c r="G7" s="5">
        <f t="shared" ref="G7:G15" si="2">F7*0.55</f>
        <v>5.9109722222222221</v>
      </c>
      <c r="H7">
        <v>9.1629000000000076</v>
      </c>
    </row>
    <row r="8" spans="2:9" x14ac:dyDescent="0.2">
      <c r="B8" t="s">
        <v>11</v>
      </c>
      <c r="C8" t="s">
        <v>7</v>
      </c>
      <c r="D8">
        <v>387.3</v>
      </c>
      <c r="E8" s="4">
        <f t="shared" si="0"/>
        <v>0.57019166666666665</v>
      </c>
      <c r="F8" s="4">
        <f t="shared" si="1"/>
        <v>11.403833333333333</v>
      </c>
      <c r="G8" s="5">
        <f t="shared" si="2"/>
        <v>6.2721083333333336</v>
      </c>
      <c r="H8">
        <v>8.2193999999999932</v>
      </c>
    </row>
    <row r="9" spans="2:9" x14ac:dyDescent="0.2">
      <c r="B9" t="s">
        <v>11</v>
      </c>
      <c r="C9" t="s">
        <v>8</v>
      </c>
      <c r="D9">
        <v>388.3</v>
      </c>
      <c r="E9" s="4">
        <f t="shared" si="0"/>
        <v>0.57166388888888886</v>
      </c>
      <c r="F9" s="4">
        <f t="shared" si="1"/>
        <v>11.433277777777777</v>
      </c>
      <c r="G9" s="5">
        <f t="shared" si="2"/>
        <v>6.288302777777778</v>
      </c>
      <c r="H9" s="7">
        <v>1.5987999999999971</v>
      </c>
    </row>
    <row r="10" spans="2:9" x14ac:dyDescent="0.2">
      <c r="B10" t="s">
        <v>12</v>
      </c>
      <c r="C10" t="s">
        <v>7</v>
      </c>
      <c r="D10">
        <v>345.4</v>
      </c>
      <c r="E10" s="4">
        <f t="shared" si="0"/>
        <v>0.50850555555555554</v>
      </c>
      <c r="F10" s="4">
        <f t="shared" si="1"/>
        <v>10.170111111111112</v>
      </c>
      <c r="G10" s="5">
        <f t="shared" si="2"/>
        <v>5.5935611111111117</v>
      </c>
      <c r="H10">
        <v>5.3324000000000069</v>
      </c>
    </row>
    <row r="11" spans="2:9" x14ac:dyDescent="0.2">
      <c r="B11" t="s">
        <v>12</v>
      </c>
      <c r="C11" t="s">
        <v>8</v>
      </c>
      <c r="D11">
        <v>345.3</v>
      </c>
      <c r="E11" s="4">
        <f t="shared" si="0"/>
        <v>0.50835833333333336</v>
      </c>
      <c r="F11" s="4">
        <f t="shared" si="1"/>
        <v>10.167166666666667</v>
      </c>
      <c r="G11" s="5">
        <f t="shared" si="2"/>
        <v>5.591941666666667</v>
      </c>
      <c r="H11">
        <v>6.1443000000000012</v>
      </c>
    </row>
    <row r="12" spans="2:9" x14ac:dyDescent="0.2">
      <c r="B12" t="s">
        <v>13</v>
      </c>
      <c r="C12" t="s">
        <v>7</v>
      </c>
      <c r="D12">
        <v>330.6</v>
      </c>
      <c r="E12" s="4">
        <f t="shared" si="0"/>
        <v>0.48671666666666669</v>
      </c>
      <c r="F12" s="4">
        <f t="shared" si="1"/>
        <v>9.7343333333333337</v>
      </c>
      <c r="G12" s="5">
        <f t="shared" si="2"/>
        <v>5.353883333333334</v>
      </c>
      <c r="H12">
        <v>6.7715000000000032</v>
      </c>
    </row>
    <row r="13" spans="2:9" x14ac:dyDescent="0.2">
      <c r="B13" t="s">
        <v>13</v>
      </c>
      <c r="C13" t="s">
        <v>8</v>
      </c>
      <c r="D13">
        <v>330.3</v>
      </c>
      <c r="E13" s="4">
        <f t="shared" si="0"/>
        <v>0.48627500000000001</v>
      </c>
      <c r="F13" s="4">
        <f t="shared" si="1"/>
        <v>9.7255000000000003</v>
      </c>
      <c r="G13" s="5">
        <f t="shared" si="2"/>
        <v>5.3490250000000001</v>
      </c>
      <c r="H13">
        <v>4.910499999999999</v>
      </c>
    </row>
    <row r="14" spans="2:9" x14ac:dyDescent="0.2">
      <c r="B14" t="s">
        <v>14</v>
      </c>
      <c r="C14" t="s">
        <v>7</v>
      </c>
      <c r="D14">
        <v>358.1</v>
      </c>
      <c r="E14" s="4">
        <f t="shared" si="0"/>
        <v>0.5272027777777778</v>
      </c>
      <c r="F14" s="4">
        <f t="shared" si="1"/>
        <v>10.544055555555556</v>
      </c>
      <c r="G14" s="5">
        <f t="shared" si="2"/>
        <v>5.7992305555555559</v>
      </c>
      <c r="H14">
        <v>6.7734999999999985</v>
      </c>
    </row>
    <row r="15" spans="2:9" x14ac:dyDescent="0.2">
      <c r="B15" t="s">
        <v>14</v>
      </c>
      <c r="C15" t="s">
        <v>8</v>
      </c>
      <c r="D15">
        <v>357.6</v>
      </c>
      <c r="E15" s="4">
        <f t="shared" si="0"/>
        <v>0.52646666666666664</v>
      </c>
      <c r="F15" s="4">
        <f t="shared" si="1"/>
        <v>10.529333333333334</v>
      </c>
      <c r="G15" s="5">
        <f t="shared" si="2"/>
        <v>5.7911333333333337</v>
      </c>
      <c r="H15" s="7">
        <v>-0.92369999999999663</v>
      </c>
    </row>
    <row r="17" spans="2:8" x14ac:dyDescent="0.2">
      <c r="B17" t="s">
        <v>9</v>
      </c>
      <c r="D17" s="8">
        <f>AVERAGE(D6:D16)</f>
        <v>357.36</v>
      </c>
      <c r="E17" s="9">
        <f t="shared" ref="E17:H17" si="3">AVERAGE(E6:E16)</f>
        <v>0.52611333333333332</v>
      </c>
      <c r="F17" s="8">
        <f t="shared" si="3"/>
        <v>10.522266666666667</v>
      </c>
      <c r="G17" s="9">
        <f t="shared" si="3"/>
        <v>5.7872466666666664</v>
      </c>
      <c r="H17" s="9">
        <f t="shared" si="3"/>
        <v>5.7687400000000011</v>
      </c>
    </row>
  </sheetData>
  <mergeCells count="1">
    <mergeCell ref="D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Tecchio</dc:creator>
  <cp:lastModifiedBy>Paolo Tecchio</cp:lastModifiedBy>
  <dcterms:created xsi:type="dcterms:W3CDTF">2026-06-02T05:56:08Z</dcterms:created>
  <dcterms:modified xsi:type="dcterms:W3CDTF">2026-06-02T05:58:03Z</dcterms:modified>
</cp:coreProperties>
</file>